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AA14C55342B286/Pictures/"/>
    </mc:Choice>
  </mc:AlternateContent>
  <xr:revisionPtr revIDLastSave="0" documentId="8_{93D726BB-5E21-4612-BF8B-6A8C0E71CB7B}" xr6:coauthVersionLast="47" xr6:coauthVersionMax="47" xr10:uidLastSave="{00000000-0000-0000-0000-000000000000}"/>
  <bookViews>
    <workbookView xWindow="108" yWindow="0" windowWidth="17280" windowHeight="8880" firstSheet="1" activeTab="1" xr2:uid="{783689DF-B3DC-45CE-816D-AC0EA2D6D468}"/>
  </bookViews>
  <sheets>
    <sheet name="Sheet5" sheetId="5" r:id="rId1"/>
    <sheet name="ticket" sheetId="1" r:id="rId2"/>
    <sheet name="feedbacks" sheetId="2" r:id="rId3"/>
  </sheets>
  <calcPr calcId="191028"/>
  <pivotCaches>
    <pivotCache cacheId="50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G3" i="1"/>
  <c r="G4" i="1"/>
  <c r="G5" i="1"/>
  <c r="G2" i="1"/>
  <c r="F3" i="1"/>
  <c r="F4" i="1"/>
  <c r="F5" i="1"/>
  <c r="F2" i="1"/>
  <c r="D3" i="2"/>
  <c r="D4" i="2"/>
  <c r="D2" i="2"/>
</calcChain>
</file>

<file path=xl/sharedStrings.xml><?xml version="1.0" encoding="utf-8"?>
<sst xmlns="http://schemas.openxmlformats.org/spreadsheetml/2006/main" count="34" uniqueCount="25">
  <si>
    <t>Row Labels</t>
  </si>
  <si>
    <t>Count of outlet_id</t>
  </si>
  <si>
    <t>8woh-k3u-23b</t>
  </si>
  <si>
    <t>abc-k9d-999</t>
  </si>
  <si>
    <t>wrqy-juv-978</t>
  </si>
  <si>
    <t>(blank)</t>
  </si>
  <si>
    <t>Grand Total</t>
  </si>
  <si>
    <t>ticket_id</t>
  </si>
  <si>
    <t>created_at</t>
  </si>
  <si>
    <t>closed_at</t>
  </si>
  <si>
    <t>outlet_id</t>
  </si>
  <si>
    <t>cms_id</t>
  </si>
  <si>
    <t>same_day</t>
  </si>
  <si>
    <t>same_hour</t>
  </si>
  <si>
    <t>resolution_time_minutes</t>
  </si>
  <si>
    <t>isu-sjd-457</t>
  </si>
  <si>
    <t>vew-iuvd-12</t>
  </si>
  <si>
    <t>qer-fal-092</t>
  </si>
  <si>
    <t>xyu-skd-89</t>
  </si>
  <si>
    <t>poi-123-kk9</t>
  </si>
  <si>
    <t>mnb-458-hyt</t>
  </si>
  <si>
    <t>abc-123-xy9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</si>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</sst>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ai vadlapudi" refreshedDate="45993.900277546294" createdVersion="8" refreshedVersion="8" minRefreshableVersion="3" recordCount="5" xr:uid="{262DD3D8-8FDE-4BB4-8182-D4135E96076C}">
  <cacheSource type="worksheet">
    <worksheetSource ref="A1:G1048576" sheet="ticket"/>
  </cacheSource>
  <cacheFields count="7">
    <cacheField name="ticket_id" numFmtId="0">
      <sharedItems containsBlank="1"/>
    </cacheField>
    <cacheField name="created_at" numFmtId="0">
      <sharedItems containsNonDate="0" containsDate="1" containsString="0" containsBlank="1" minDate="2021-08-19T16:45:43" maxDate="2021-08-22T09:20:55"/>
    </cacheField>
    <cacheField name="closed_at" numFmtId="0">
      <sharedItems containsNonDate="0" containsDate="1" containsString="0" containsBlank="1" minDate="2021-08-21T13:59:30" maxDate="2021-08-22T16:10:05"/>
    </cacheField>
    <cacheField name="outlet_id" numFmtId="0">
      <sharedItems containsBlank="1" count="4">
        <s v="wrqy-juv-978"/>
        <s v="8woh-k3u-23b"/>
        <s v="abc-k9d-999"/>
        <m/>
      </sharedItems>
    </cacheField>
    <cacheField name="cms_id" numFmtId="0">
      <sharedItems containsBlank="1"/>
    </cacheField>
    <cacheField name="same_day" numFmtId="0">
      <sharedItems containsBlank="1"/>
    </cacheField>
    <cacheField name="same_hou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16:45:43"/>
    <d v="2021-08-22T12:33:32"/>
    <x v="0"/>
    <s v="vew-iuvd-12"/>
    <s v="NO"/>
    <s v="NO"/>
  </r>
  <r>
    <s v="qer-fal-092"/>
    <d v="2021-08-21T11:09:22"/>
    <d v="2021-08-21T17:13:45"/>
    <x v="1"/>
    <s v="xyu-skd-89"/>
    <s v="YES"/>
    <s v="NO"/>
  </r>
  <r>
    <s v="poi-123-kk9"/>
    <d v="2021-08-21T13:40:10"/>
    <d v="2021-08-21T13:59:30"/>
    <x v="0"/>
    <s v="vew-iuvd-12"/>
    <s v="YES"/>
    <s v="YES"/>
  </r>
  <r>
    <s v="mnb-458-hyt"/>
    <d v="2021-08-22T09:20:55"/>
    <d v="2021-08-22T16:10:05"/>
    <x v="2"/>
    <s v="abc-123-xy9"/>
    <s v="YES"/>
    <s v="NO"/>
  </r>
  <r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C0A22-6E24-4A21-B436-061330EAF684}" name="PivotTable1" cacheId="5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utlet_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EC67-7476-4EF9-BC12-97774EF2AC2F}">
  <dimension ref="A3:B8"/>
  <sheetViews>
    <sheetView workbookViewId="0">
      <selection activeCell="L12" sqref="L12"/>
    </sheetView>
  </sheetViews>
  <sheetFormatPr defaultRowHeight="14.45"/>
  <cols>
    <col min="1" max="1" width="12.7109375" bestFit="1" customWidth="1"/>
    <col min="2" max="2" width="16.42578125" bestFit="1" customWidth="1"/>
  </cols>
  <sheetData>
    <row r="3" spans="1:2">
      <c r="A3" s="4" t="s">
        <v>0</v>
      </c>
      <c r="B3" t="s">
        <v>1</v>
      </c>
    </row>
    <row r="4" spans="1:2">
      <c r="A4" s="5" t="s">
        <v>2</v>
      </c>
      <c r="B4" s="6">
        <v>1</v>
      </c>
    </row>
    <row r="5" spans="1:2">
      <c r="A5" s="5" t="s">
        <v>3</v>
      </c>
      <c r="B5" s="6">
        <v>1</v>
      </c>
    </row>
    <row r="6" spans="1:2">
      <c r="A6" s="5" t="s">
        <v>4</v>
      </c>
      <c r="B6" s="6">
        <v>2</v>
      </c>
    </row>
    <row r="7" spans="1:2">
      <c r="A7" s="5" t="s">
        <v>5</v>
      </c>
      <c r="B7" s="6"/>
    </row>
    <row r="8" spans="1:2">
      <c r="A8" s="5" t="s">
        <v>6</v>
      </c>
      <c r="B8" s="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FFF7-3B0C-47CD-98F9-B74EFA6A3249}">
  <dimension ref="A1:H5"/>
  <sheetViews>
    <sheetView tabSelected="1" workbookViewId="0">
      <selection activeCell="O3" sqref="O3"/>
    </sheetView>
  </sheetViews>
  <sheetFormatPr defaultRowHeight="14.45"/>
  <cols>
    <col min="2" max="3" width="15.42578125" bestFit="1" customWidth="1"/>
  </cols>
  <sheetData>
    <row r="1" spans="1:8" ht="43.1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7" t="s">
        <v>12</v>
      </c>
      <c r="G1" s="7" t="s">
        <v>13</v>
      </c>
      <c r="H1" s="3" t="s">
        <v>14</v>
      </c>
    </row>
    <row r="2" spans="1:8" ht="28.9">
      <c r="A2" s="1" t="s">
        <v>15</v>
      </c>
      <c r="B2" s="2">
        <v>44427.698414351849</v>
      </c>
      <c r="C2" s="2">
        <v>44430.523287037038</v>
      </c>
      <c r="D2" s="1" t="s">
        <v>4</v>
      </c>
      <c r="E2" s="1" t="s">
        <v>16</v>
      </c>
      <c r="F2" t="str">
        <f>IF(INT(B2)=INT(C2),"YES","NO")</f>
        <v>NO</v>
      </c>
      <c r="G2" t="str">
        <f>IF(AND(INT(B2)=INT(C2), HOUR(B2)=HOUR(C2)), "YES", "NO")</f>
        <v>NO</v>
      </c>
      <c r="H2">
        <f>(C2 - B2) * 1440</f>
        <v>4067.8166666720062</v>
      </c>
    </row>
    <row r="3" spans="1:8" ht="28.9">
      <c r="A3" s="1" t="s">
        <v>17</v>
      </c>
      <c r="B3" s="2">
        <v>44429.464837962965</v>
      </c>
      <c r="C3" s="2">
        <v>44429.717881944445</v>
      </c>
      <c r="D3" s="1" t="s">
        <v>2</v>
      </c>
      <c r="E3" s="1" t="s">
        <v>18</v>
      </c>
      <c r="F3" t="str">
        <f t="shared" ref="F3:F5" si="0">IF(INT(B3)=INT(C3),"YES","NO")</f>
        <v>YES</v>
      </c>
      <c r="G3" t="str">
        <f t="shared" ref="G3:G5" si="1">IF(AND(INT(B3)=INT(C3), HOUR(B3)=HOUR(C3)), "YES", "NO")</f>
        <v>NO</v>
      </c>
      <c r="H3">
        <f t="shared" ref="H3:H5" si="2">(C3 - B3) * 1440</f>
        <v>364.38333333120681</v>
      </c>
    </row>
    <row r="4" spans="1:8" ht="28.9">
      <c r="A4" s="1" t="s">
        <v>19</v>
      </c>
      <c r="B4" s="2">
        <v>44429.569560185184</v>
      </c>
      <c r="C4" s="2">
        <v>44429.582986111112</v>
      </c>
      <c r="D4" s="1" t="s">
        <v>4</v>
      </c>
      <c r="E4" s="1" t="s">
        <v>16</v>
      </c>
      <c r="F4" t="str">
        <f t="shared" si="0"/>
        <v>YES</v>
      </c>
      <c r="G4" t="str">
        <f t="shared" si="1"/>
        <v>YES</v>
      </c>
      <c r="H4">
        <f t="shared" si="2"/>
        <v>19.333333336981013</v>
      </c>
    </row>
    <row r="5" spans="1:8" ht="28.9">
      <c r="A5" s="1" t="s">
        <v>20</v>
      </c>
      <c r="B5" s="2">
        <v>44430.389525462961</v>
      </c>
      <c r="C5" s="2">
        <v>44430.673668981479</v>
      </c>
      <c r="D5" s="1" t="s">
        <v>3</v>
      </c>
      <c r="E5" s="1" t="s">
        <v>21</v>
      </c>
      <c r="F5" t="str">
        <f t="shared" si="0"/>
        <v>YES</v>
      </c>
      <c r="G5" t="str">
        <f t="shared" si="1"/>
        <v>NO</v>
      </c>
      <c r="H5">
        <f t="shared" si="2"/>
        <v>409.16666666627862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F9A3-98D7-4DA0-841D-FB086B48AB12}">
  <dimension ref="A1:D4"/>
  <sheetViews>
    <sheetView workbookViewId="0">
      <selection activeCell="C1" sqref="C1"/>
    </sheetView>
  </sheetViews>
  <sheetFormatPr defaultRowHeight="14.45"/>
  <cols>
    <col min="2" max="2" width="15.42578125" bestFit="1" customWidth="1"/>
    <col min="4" max="4" width="15.42578125" bestFit="1" customWidth="1"/>
  </cols>
  <sheetData>
    <row r="1" spans="1:4" ht="28.9">
      <c r="A1" s="3" t="s">
        <v>11</v>
      </c>
      <c r="B1" s="3" t="s">
        <v>22</v>
      </c>
      <c r="C1" s="3" t="s">
        <v>23</v>
      </c>
      <c r="D1" s="3" t="s">
        <v>24</v>
      </c>
    </row>
    <row r="2" spans="1:4" ht="28.9">
      <c r="A2" s="1" t="s">
        <v>16</v>
      </c>
      <c r="B2" s="2">
        <v>44429.560277777775</v>
      </c>
      <c r="C2" s="1">
        <v>3</v>
      </c>
      <c r="D2" s="2">
        <f>_xlfn.XLOOKUP(A2, ticket!E:E, ticket!B:B, "NOT FOUND")</f>
        <v>44427.698414351849</v>
      </c>
    </row>
    <row r="3" spans="1:4" ht="28.9">
      <c r="A3" s="1" t="s">
        <v>18</v>
      </c>
      <c r="B3" s="2">
        <v>44429.833449074074</v>
      </c>
      <c r="C3" s="1">
        <v>4</v>
      </c>
      <c r="D3" s="2">
        <f>_xlfn.XLOOKUP(A3, ticket!E:E, ticket!B:B, "NOT FOUND")</f>
        <v>44429.464837962965</v>
      </c>
    </row>
    <row r="4" spans="1:4" ht="28.9">
      <c r="A4" s="1" t="s">
        <v>21</v>
      </c>
      <c r="B4" s="2">
        <v>44430.778032407405</v>
      </c>
      <c r="C4" s="1">
        <v>5</v>
      </c>
      <c r="D4" s="2">
        <f>_xlfn.XLOOKUP(A4, ticket!E:E, ticket!B:B, "NOT FOUND")</f>
        <v>44430.389525462961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Vadlapudi</dc:creator>
  <cp:keywords/>
  <dc:description/>
  <cp:lastModifiedBy/>
  <cp:revision/>
  <dcterms:created xsi:type="dcterms:W3CDTF">2025-12-02T15:24:27Z</dcterms:created>
  <dcterms:modified xsi:type="dcterms:W3CDTF">2025-12-02T17:03:24Z</dcterms:modified>
  <cp:category/>
  <cp:contentStatus/>
</cp:coreProperties>
</file>